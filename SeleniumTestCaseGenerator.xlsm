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filterPrivacy="1" codeName="ThisWorkbook" defaultThemeVersion="166925"/>
  <xr:revisionPtr revIDLastSave="0" documentId="13_ncr:1_{9136A758-1A20-48A4-A789-1F2DECB3D53E}" xr6:coauthVersionLast="47" xr6:coauthVersionMax="47" xr10:uidLastSave="{00000000-0000-0000-0000-000000000000}"/>
  <bookViews>
    <workbookView xWindow="705" yWindow="1500" windowWidth="25560" windowHeight="14490" xr2:uid="{9E6BAB30-C602-4D4E-91F0-2F92C84C57CE}"/>
  </bookViews>
  <sheets>
    <sheet name="事前準備" sheetId="7" r:id="rId1"/>
    <sheet name="Test Case Generation" sheetId="6" r:id="rId2"/>
    <sheet name="Selenium" sheetId="3" r:id="rId3"/>
    <sheet name="target master" sheetId="4" r:id="rId4"/>
    <sheet name="command master" sheetId="2" r:id="rId5"/>
  </sheets>
  <definedNames>
    <definedName name="_xlnm._FilterDatabase" localSheetId="2" hidden="1">Selenium!$A$4:$G$19</definedName>
    <definedName name="baseURL">'Test Case Generation'!$F$12</definedName>
    <definedName name="command_keywords">'command master'!$A:$A</definedName>
    <definedName name="command_master">'command master'!$A:$D</definedName>
    <definedName name="CurrentStepIter">'Test Case Generation'!$Q$8</definedName>
    <definedName name="CurrentTestPatternIter">'Test Case Generation'!$Q$6</definedName>
    <definedName name="Directory">'Test Case Generation'!$F$11</definedName>
    <definedName name="FileNameFormat">'Test Case Generation'!$F$10</definedName>
    <definedName name="PatternName">'Test Case Generation'!$Q$7</definedName>
    <definedName name="stepEnd">'Test Case Generation'!$F$15</definedName>
    <definedName name="stepStart">'Test Case Generation'!$F$14</definedName>
    <definedName name="target_selection">'target master'!$B:$B</definedName>
    <definedName name="TestCase">'Test Case Generation'!$Q$15</definedName>
    <definedName name="TotalTestPatterns">'Test Case Generation'!$F$13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" i="3" l="1"/>
  <c r="F11" i="6" l="1" a="1"/>
  <c r="F11" i="6" s="1"/>
  <c r="G8" i="3" l="1"/>
  <c r="G18" i="3"/>
  <c r="G6" i="3"/>
  <c r="F18" i="3"/>
  <c r="F6" i="3" l="1"/>
  <c r="F13" i="6" l="1"/>
  <c r="Q7" i="6" a="1"/>
  <c r="Q7" i="6" s="1"/>
  <c r="Q9" i="6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6" i="3" l="1"/>
  <c r="Q11" i="6" a="1"/>
  <c r="Q12" i="6" a="1"/>
  <c r="Q14" i="6" a="1"/>
  <c r="Q14" i="6" l="1"/>
  <c r="Q11" i="6"/>
  <c r="F14" i="6"/>
  <c r="F15" i="6"/>
  <c r="Q12" i="6"/>
  <c r="Q15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<sst xmlns="http://schemas.openxmlformats.org/spreadsheetml/2006/main" count="161" uniqueCount="117">
  <si>
    <t>open</t>
    <phoneticPr fontId="1"/>
  </si>
  <si>
    <t>click</t>
  </si>
  <si>
    <t>click</t>
    <phoneticPr fontId="1"/>
  </si>
  <si>
    <t>Keywords</t>
    <phoneticPr fontId="1"/>
  </si>
  <si>
    <t>Command</t>
    <phoneticPr fontId="1"/>
  </si>
  <si>
    <t>CaptureScreenshot</t>
  </si>
  <si>
    <t>CaptureScreenshot</t>
    <phoneticPr fontId="1"/>
  </si>
  <si>
    <t>run script</t>
    <phoneticPr fontId="1"/>
  </si>
  <si>
    <t>Target</t>
    <phoneticPr fontId="1"/>
  </si>
  <si>
    <t>Value</t>
    <phoneticPr fontId="1"/>
  </si>
  <si>
    <t>Page</t>
    <phoneticPr fontId="1"/>
  </si>
  <si>
    <t>Target Selection</t>
    <phoneticPr fontId="1"/>
  </si>
  <si>
    <t>input</t>
  </si>
  <si>
    <t>input</t>
    <phoneticPr fontId="1"/>
  </si>
  <si>
    <t>コマンド</t>
    <phoneticPr fontId="1"/>
  </si>
  <si>
    <t>入力項目</t>
    <rPh sb="0" eb="2">
      <t>ニュウリョク</t>
    </rPh>
    <rPh sb="2" eb="4">
      <t>コウモク</t>
    </rPh>
    <phoneticPr fontId="1"/>
  </si>
  <si>
    <t>値／選択肢</t>
    <rPh sb="0" eb="1">
      <t>アタイ</t>
    </rPh>
    <rPh sb="2" eb="5">
      <t>センタクシ</t>
    </rPh>
    <phoneticPr fontId="1"/>
  </si>
  <si>
    <t>Step1</t>
    <phoneticPr fontId="1"/>
  </si>
  <si>
    <t>input[name=name2]</t>
  </si>
  <si>
    <t>生年月日</t>
    <rPh sb="0" eb="2">
      <t>セイネン</t>
    </rPh>
    <rPh sb="2" eb="4">
      <t>ガッピ</t>
    </rPh>
    <phoneticPr fontId="1"/>
  </si>
  <si>
    <t>生年月日（年）</t>
    <rPh sb="0" eb="2">
      <t>セイネン</t>
    </rPh>
    <rPh sb="2" eb="4">
      <t>ガッピ</t>
    </rPh>
    <rPh sb="5" eb="6">
      <t>ネン</t>
    </rPh>
    <phoneticPr fontId="1"/>
  </si>
  <si>
    <t>生年月日（月）</t>
    <rPh sb="0" eb="2">
      <t>セイネン</t>
    </rPh>
    <rPh sb="2" eb="4">
      <t>ガッピ</t>
    </rPh>
    <rPh sb="5" eb="6">
      <t>ツキ</t>
    </rPh>
    <phoneticPr fontId="1"/>
  </si>
  <si>
    <t>生年月日（日）</t>
    <rPh sb="0" eb="2">
      <t>セイネン</t>
    </rPh>
    <rPh sb="2" eb="4">
      <t>ガッピ</t>
    </rPh>
    <rPh sb="5" eb="6">
      <t>ヒ</t>
    </rPh>
    <phoneticPr fontId="1"/>
  </si>
  <si>
    <t>性別</t>
    <rPh sb="0" eb="2">
      <t>セイベツ</t>
    </rPh>
    <phoneticPr fontId="1"/>
  </si>
  <si>
    <t>select</t>
    <phoneticPr fontId="1"/>
  </si>
  <si>
    <t>input[name=gender]</t>
    <phoneticPr fontId="1"/>
  </si>
  <si>
    <t>男</t>
    <rPh sb="0" eb="1">
      <t>オトコ</t>
    </rPh>
    <phoneticPr fontId="1"/>
  </si>
  <si>
    <t>【ページ遷移】STEP1へ</t>
    <rPh sb="4" eb="6">
      <t>センイ</t>
    </rPh>
    <phoneticPr fontId="1"/>
  </si>
  <si>
    <t>radio</t>
    <phoneticPr fontId="1"/>
  </si>
  <si>
    <t>check</t>
    <phoneticPr fontId="1"/>
  </si>
  <si>
    <t>Current Step</t>
    <phoneticPr fontId="1"/>
  </si>
  <si>
    <t>Current Pattern</t>
    <phoneticPr fontId="1"/>
  </si>
  <si>
    <t>CustomJS</t>
    <phoneticPr fontId="1"/>
  </si>
  <si>
    <t>#target#</t>
    <phoneticPr fontId="1"/>
  </si>
  <si>
    <t>input[name=name2Kana]</t>
  </si>
  <si>
    <t>確認画面へ</t>
    <phoneticPr fontId="1"/>
  </si>
  <si>
    <t>手順：</t>
    <rPh sb="0" eb="2">
      <t>テジュン</t>
    </rPh>
    <phoneticPr fontId="1"/>
  </si>
  <si>
    <t>Seleniumシートを編集</t>
    <rPh sb="12" eb="14">
      <t>ヘンシュウ</t>
    </rPh>
    <phoneticPr fontId="1"/>
  </si>
  <si>
    <t>Script Work Area</t>
    <phoneticPr fontId="1"/>
  </si>
  <si>
    <t>Generate Test Suiteボタンを押下</t>
    <rPh sb="23" eb="25">
      <t>オウカ</t>
    </rPh>
    <phoneticPr fontId="1"/>
  </si>
  <si>
    <t>Current Pattern Iter</t>
    <phoneticPr fontId="1"/>
  </si>
  <si>
    <t>生成されたTest SuiteをSeleniumに読み込む</t>
    <rPh sb="0" eb="2">
      <t>セイセイ</t>
    </rPh>
    <rPh sb="25" eb="26">
      <t>ヨ</t>
    </rPh>
    <rPh sb="27" eb="28">
      <t>コ</t>
    </rPh>
    <phoneticPr fontId="1"/>
  </si>
  <si>
    <t>※Playback Speedは遅めに設定すること</t>
    <rPh sb="16" eb="17">
      <t>オソ</t>
    </rPh>
    <rPh sb="19" eb="21">
      <t>セッテイ</t>
    </rPh>
    <phoneticPr fontId="1"/>
  </si>
  <si>
    <t>id</t>
    <phoneticPr fontId="1"/>
  </si>
  <si>
    <t>テストスートファイル名</t>
    <rPh sb="10" eb="11">
      <t>メイ</t>
    </rPh>
    <phoneticPr fontId="1"/>
  </si>
  <si>
    <t>comment</t>
    <phoneticPr fontId="1"/>
  </si>
  <si>
    <t>出力ディレクトリ</t>
    <rPh sb="0" eb="2">
      <t>シュツリョク</t>
    </rPh>
    <phoneticPr fontId="1"/>
  </si>
  <si>
    <t>command</t>
    <phoneticPr fontId="1"/>
  </si>
  <si>
    <t>テストパターン総数</t>
    <rPh sb="7" eb="9">
      <t>ソウスウ</t>
    </rPh>
    <phoneticPr fontId="1"/>
  </si>
  <si>
    <t>target</t>
    <phoneticPr fontId="1"/>
  </si>
  <si>
    <t>開始ステップ位置</t>
    <rPh sb="0" eb="2">
      <t>カイシ</t>
    </rPh>
    <rPh sb="6" eb="8">
      <t>イチ</t>
    </rPh>
    <phoneticPr fontId="1"/>
  </si>
  <si>
    <t>targets</t>
    <phoneticPr fontId="1"/>
  </si>
  <si>
    <t>[]</t>
    <phoneticPr fontId="1"/>
  </si>
  <si>
    <t>終了ステップ位置</t>
    <rPh sb="0" eb="2">
      <t>シュウリョウ</t>
    </rPh>
    <rPh sb="6" eb="8">
      <t>イチ</t>
    </rPh>
    <phoneticPr fontId="1"/>
  </si>
  <si>
    <t>value</t>
    <phoneticPr fontId="1"/>
  </si>
  <si>
    <t>Test Cases</t>
    <phoneticPr fontId="1"/>
  </si>
  <si>
    <t>ベースURL</t>
    <phoneticPr fontId="1"/>
  </si>
  <si>
    <t>var CaptureScreenshot = async (filename) =&gt; {await import("https://cdnjs.cloudflare.com/ajax/libs/html2canvas/0.4.1/html2canvas.js");document.querySelector("body, #virtual-body, div.App__slides, section.Branch__root").style.height = "auto"; html2canvas(document.querySelector("body"), {onrendered: (canvas) =&gt; {var a = document.createElement('a');a.href = canvas.toDataURL("image/jpeg").replace("image/jpeg", "image/octet-stream");a.download = filename;a.click();document.querySelector("body, #virtual-body, div.App__slides, section.Branch__root").style.height = "";}});};  var dateFormat = (date) =&gt; {var y = date.getFullYear(), m=date.getMonth()+1,d=date.getDate(),h=date.getHours(),mi=date.getMinutes(),ss=date.getSeconds();return y+(('0'+m).slice(-2))+(('0'+d).slice(-2))+(('0'+h).slice(-2))+(('0'+mi).slice(-2))+(('0'+ss).slice(-2))};CaptureScreenshot(`#target#-${dateFormat(new Date())}.jpg`);</t>
    <phoneticPr fontId="1"/>
  </si>
  <si>
    <t>事前準備</t>
    <rPh sb="0" eb="2">
      <t>ジゼン</t>
    </rPh>
    <rPh sb="2" eb="4">
      <t>ジュンビ</t>
    </rPh>
    <phoneticPr fontId="1"/>
  </si>
  <si>
    <t>Selenium IDEをブラウザに追加</t>
    <rPh sb="18" eb="20">
      <t>ツイカ</t>
    </rPh>
    <phoneticPr fontId="1"/>
  </si>
  <si>
    <t>Chrome</t>
    <phoneticPr fontId="1"/>
  </si>
  <si>
    <t>Firefox</t>
    <phoneticPr fontId="1"/>
  </si>
  <si>
    <t>https://addons.mozilla.org/ja/firefox/addon/selenium-ide/</t>
    <phoneticPr fontId="1"/>
  </si>
  <si>
    <t>https://chrome.google.com/webstore/detail/selenium-ide/mooikfkahbdckldjjndioackbalphokd</t>
    <phoneticPr fontId="1"/>
  </si>
  <si>
    <t>Seleniumシートを編集（検証パターンの入力）</t>
    <rPh sb="12" eb="14">
      <t>ヘンシュウ</t>
    </rPh>
    <rPh sb="15" eb="17">
      <t>ケンショウ</t>
    </rPh>
    <rPh sb="22" eb="24">
      <t>ニュウリョク</t>
    </rPh>
    <phoneticPr fontId="1"/>
  </si>
  <si>
    <t>生成されたTest SuiteをSelenium IDEに読み込む</t>
    <rPh sb="0" eb="2">
      <t>セイセイ</t>
    </rPh>
    <rPh sb="29" eb="30">
      <t>ヨ</t>
    </rPh>
    <rPh sb="31" eb="32">
      <t>コ</t>
    </rPh>
    <phoneticPr fontId="1"/>
  </si>
  <si>
    <t>テストを実施</t>
    <rPh sb="4" eb="6">
      <t>ジッシ</t>
    </rPh>
    <phoneticPr fontId="1"/>
  </si>
  <si>
    <t>if(document.querySelector("#selector#")) {(Object.getOwnPropertyDescriptor(window.HTMLInputElement.prototype, "value").set).call(document.querySelector("#selector#"), "#target#"); document.querySelector("#selector#").dispatchEvent(new Event('input', { bubbles: true}));}</t>
    <phoneticPr fontId="1"/>
  </si>
  <si>
    <t>if(document.querySelectorAll("#selector#")) {document.querySelectorAll("#selector#").forEach(v =&gt; {if(v.parentNode.textContent.trim() === "#target#") v.click()})}</t>
    <phoneticPr fontId="1"/>
  </si>
  <si>
    <t>if (document.querySelector("#selector#")) {document.querySelector("#selector#").focus();document.querySelector("#selector#").value = "#target#"; document.querySelector("#selector#").dispatchEvent(new Event("change", {bubbles: true}));}</t>
    <phoneticPr fontId="1"/>
  </si>
  <si>
    <t>if(document.querySelector("#selector#")) {document.querySelector("#selector#").click()}</t>
    <phoneticPr fontId="1"/>
  </si>
  <si>
    <t>wait untill spinner disappear</t>
    <phoneticPr fontId="1"/>
  </si>
  <si>
    <t>※Playback Speedは遅めに設定すること(80%くらいでOK）</t>
    <rPh sb="16" eb="17">
      <t>オソ</t>
    </rPh>
    <rPh sb="19" eb="21">
      <t>セッテイ</t>
    </rPh>
    <phoneticPr fontId="1"/>
  </si>
  <si>
    <t>※エラーになった場合は、エラー箇所（Selenium）とWeb上の項目（name属性やID/Class）が意図したものかを確認</t>
    <rPh sb="8" eb="10">
      <t>バアイ</t>
    </rPh>
    <rPh sb="15" eb="17">
      <t>カショ</t>
    </rPh>
    <rPh sb="31" eb="32">
      <t>ジョウ</t>
    </rPh>
    <rPh sb="33" eb="35">
      <t>コウモク</t>
    </rPh>
    <rPh sb="40" eb="42">
      <t>ゾクセイ</t>
    </rPh>
    <rPh sb="53" eb="55">
      <t>イト</t>
    </rPh>
    <rPh sb="61" eb="63">
      <t>カクニン</t>
    </rPh>
    <phoneticPr fontId="1"/>
  </si>
  <si>
    <t>verify element present</t>
    <phoneticPr fontId="1"/>
  </si>
  <si>
    <t>Selenum Test Case Generator</t>
    <phoneticPr fontId="1"/>
  </si>
  <si>
    <t>TestCase01</t>
    <phoneticPr fontId="1"/>
  </si>
  <si>
    <t>TestCase2</t>
    <phoneticPr fontId="1"/>
  </si>
  <si>
    <t>猫ですか？</t>
    <rPh sb="0" eb="1">
      <t>ネコ</t>
    </rPh>
    <phoneticPr fontId="1"/>
  </si>
  <si>
    <t>URL</t>
    <phoneticPr fontId="1"/>
  </si>
  <si>
    <t>確認</t>
    <phoneticPr fontId="1"/>
  </si>
  <si>
    <t>【ページ遷移】次のページへ</t>
    <rPh sb="4" eb="6">
      <t>センイ</t>
    </rPh>
    <rPh sb="7" eb="8">
      <t>ツギ</t>
    </rPh>
    <phoneticPr fontId="1"/>
  </si>
  <si>
    <t>氏名</t>
    <rPh sb="0" eb="2">
      <t>シメイ</t>
    </rPh>
    <phoneticPr fontId="1"/>
  </si>
  <si>
    <t>姓（漢字）</t>
    <rPh sb="0" eb="1">
      <t>セイ</t>
    </rPh>
    <rPh sb="1" eb="2">
      <t>シセイ</t>
    </rPh>
    <rPh sb="2" eb="4">
      <t>カンジ</t>
    </rPh>
    <phoneticPr fontId="1"/>
  </si>
  <si>
    <t>名（漢字）</t>
    <rPh sb="0" eb="1">
      <t>メイ</t>
    </rPh>
    <rPh sb="1" eb="2">
      <t>シメイ</t>
    </rPh>
    <rPh sb="2" eb="4">
      <t>カンジ</t>
    </rPh>
    <phoneticPr fontId="1"/>
  </si>
  <si>
    <t>姓（カナ）</t>
    <rPh sb="0" eb="1">
      <t>セイ</t>
    </rPh>
    <rPh sb="1" eb="2">
      <t>シセイ</t>
    </rPh>
    <phoneticPr fontId="1"/>
  </si>
  <si>
    <t>名（カナ）</t>
    <rPh sb="0" eb="1">
      <t>メイ</t>
    </rPh>
    <rPh sb="1" eb="2">
      <t>シメイ</t>
    </rPh>
    <phoneticPr fontId="1"/>
  </si>
  <si>
    <t>珍野</t>
    <phoneticPr fontId="1"/>
  </si>
  <si>
    <t>苦沙弥</t>
    <phoneticPr fontId="1"/>
  </si>
  <si>
    <t>ちんの</t>
    <phoneticPr fontId="1"/>
  </si>
  <si>
    <t>くしゃみ</t>
    <phoneticPr fontId="1"/>
  </si>
  <si>
    <t>1867</t>
    <phoneticPr fontId="1"/>
  </si>
  <si>
    <t>2</t>
    <phoneticPr fontId="1"/>
  </si>
  <si>
    <t>9</t>
    <phoneticPr fontId="1"/>
  </si>
  <si>
    <t>名前は</t>
    <rPh sb="0" eb="2">
      <t>ナマエ</t>
    </rPh>
    <phoneticPr fontId="1"/>
  </si>
  <si>
    <t>まだない</t>
    <phoneticPr fontId="1"/>
  </si>
  <si>
    <t>なまえは</t>
    <phoneticPr fontId="1"/>
  </si>
  <si>
    <t>1900</t>
    <phoneticPr fontId="1"/>
  </si>
  <si>
    <t>1</t>
    <phoneticPr fontId="1"/>
  </si>
  <si>
    <t>完了</t>
    <rPh sb="0" eb="2">
      <t>カンリョウ</t>
    </rPh>
    <phoneticPr fontId="1"/>
  </si>
  <si>
    <t>猫ですか？</t>
    <phoneticPr fontId="1"/>
  </si>
  <si>
    <t>input[name=r-u-cat-or-not]</t>
    <phoneticPr fontId="1"/>
  </si>
  <si>
    <t>a.next</t>
    <phoneticPr fontId="1"/>
  </si>
  <si>
    <t>Step 1</t>
    <phoneticPr fontId="1"/>
  </si>
  <si>
    <t>Step 2</t>
    <phoneticPr fontId="1"/>
  </si>
  <si>
    <t>input[name=name1]</t>
  </si>
  <si>
    <t>input[name=name1Kana]</t>
  </si>
  <si>
    <t>select[name=birthYear]</t>
    <phoneticPr fontId="1"/>
  </si>
  <si>
    <t>select[name=birthMonth]</t>
    <phoneticPr fontId="1"/>
  </si>
  <si>
    <t>select[name=birthDay]</t>
    <phoneticPr fontId="1"/>
  </si>
  <si>
    <t>.complete</t>
    <phoneticPr fontId="1"/>
  </si>
  <si>
    <t>url</t>
    <phoneticPr fontId="1"/>
  </si>
  <si>
    <t>Selector</t>
    <phoneticPr fontId="1"/>
  </si>
  <si>
    <t>Selenium_TestSuit_#datetime#.side</t>
    <phoneticPr fontId="1"/>
  </si>
  <si>
    <t>https://wagahai-wa-neko-de-aru.jp</t>
    <phoneticPr fontId="1"/>
  </si>
  <si>
    <t>Test Pattern</t>
    <phoneticPr fontId="1"/>
  </si>
  <si>
    <t>次のページへ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</si>
</sst>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u/>
      <sz val="10"/>
      <color theme="10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sz val="8"/>
      <color theme="1"/>
      <name val="Courier New"/>
      <family val="3"/>
    </font>
    <font>
      <sz val="8"/>
      <color theme="0" tint="-0.249977111117893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 tint="0.39994506668294322"/>
      </top>
      <bottom/>
      <diagonal/>
    </border>
    <border>
      <left/>
      <right style="medium">
        <color indexed="64"/>
      </right>
      <top style="thin">
        <color theme="8" tint="0.39994506668294322"/>
      </top>
      <bottom/>
      <diagonal/>
    </border>
    <border>
      <left style="medium">
        <color indexed="64"/>
      </left>
      <right style="medium">
        <color indexed="64"/>
      </right>
      <top style="thin">
        <color theme="8" tint="0.39994506668294322"/>
      </top>
      <bottom/>
      <diagonal/>
    </border>
    <border>
      <left/>
      <right/>
      <top/>
      <bottom style="thin">
        <color theme="8" tint="0.39991454817346722"/>
      </bottom>
      <diagonal/>
    </border>
    <border>
      <left/>
      <right style="medium">
        <color indexed="64"/>
      </right>
      <top/>
      <bottom style="thin">
        <color theme="8" tint="0.39991454817346722"/>
      </bottom>
      <diagonal/>
    </border>
    <border>
      <left style="medium">
        <color indexed="64"/>
      </left>
      <right style="medium">
        <color indexed="64"/>
      </right>
      <top/>
      <bottom style="thin">
        <color theme="8" tint="0.39991454817346722"/>
      </bottom>
      <diagonal/>
    </border>
    <border>
      <left/>
      <right style="medium">
        <color indexed="64"/>
      </right>
      <top style="thin">
        <color theme="8" tint="0.39991454817346722"/>
      </top>
      <bottom style="thin">
        <color theme="8" tint="0.39988402966399123"/>
      </bottom>
      <diagonal/>
    </border>
    <border>
      <left/>
      <right/>
      <top style="thin">
        <color theme="8" tint="0.39991454817346722"/>
      </top>
      <bottom style="thin">
        <color theme="8" tint="0.39988402966399123"/>
      </bottom>
      <diagonal/>
    </border>
    <border>
      <left style="medium">
        <color indexed="64"/>
      </left>
      <right style="medium">
        <color indexed="64"/>
      </right>
      <top style="thin">
        <color theme="8" tint="0.39991454817346722"/>
      </top>
      <bottom style="thin">
        <color theme="8" tint="0.399884029663991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2" fillId="4" borderId="4" xfId="0" applyFont="1" applyFill="1" applyBorder="1">
      <alignment vertical="center"/>
    </xf>
    <xf numFmtId="0" fontId="0" fillId="2" borderId="6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11" xfId="0" applyFill="1" applyBorder="1">
      <alignment vertical="center"/>
    </xf>
    <xf numFmtId="49" fontId="0" fillId="0" borderId="0" xfId="0" applyNumberFormat="1" applyAlignment="1">
      <alignment horizontal="center" vertical="center"/>
    </xf>
    <xf numFmtId="49" fontId="2" fillId="4" borderId="12" xfId="0" applyNumberFormat="1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0" fontId="3" fillId="2" borderId="10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vertical="center" wrapText="1"/>
    </xf>
    <xf numFmtId="0" fontId="0" fillId="8" borderId="8" xfId="0" applyFill="1" applyBorder="1">
      <alignment vertical="center"/>
    </xf>
    <xf numFmtId="0" fontId="4" fillId="7" borderId="15" xfId="0" applyFont="1" applyFill="1" applyBorder="1" applyAlignment="1">
      <alignment horizontal="center" vertical="center" wrapText="1"/>
    </xf>
    <xf numFmtId="0" fontId="3" fillId="8" borderId="15" xfId="0" applyFont="1" applyFill="1" applyBorder="1" applyAlignment="1">
      <alignment vertical="center" wrapText="1"/>
    </xf>
    <xf numFmtId="0" fontId="0" fillId="8" borderId="16" xfId="0" applyFill="1" applyBorder="1">
      <alignment vertical="center"/>
    </xf>
    <xf numFmtId="0" fontId="3" fillId="8" borderId="18" xfId="0" applyFont="1" applyFill="1" applyBorder="1" applyAlignment="1">
      <alignment vertical="center" wrapText="1"/>
    </xf>
    <xf numFmtId="0" fontId="0" fillId="8" borderId="19" xfId="0" applyFill="1" applyBorder="1">
      <alignment vertical="center"/>
    </xf>
    <xf numFmtId="0" fontId="3" fillId="8" borderId="22" xfId="0" applyFont="1" applyFill="1" applyBorder="1" applyAlignment="1">
      <alignment vertical="center" wrapText="1"/>
    </xf>
    <xf numFmtId="0" fontId="0" fillId="8" borderId="21" xfId="0" applyFill="1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1">
      <alignment vertical="center"/>
    </xf>
    <xf numFmtId="0" fontId="4" fillId="0" borderId="0" xfId="0" applyFont="1" applyAlignment="1">
      <alignment horizontal="left" vertical="center"/>
    </xf>
    <xf numFmtId="0" fontId="0" fillId="6" borderId="0" xfId="0" applyFill="1">
      <alignment vertical="center"/>
    </xf>
    <xf numFmtId="0" fontId="4" fillId="9" borderId="0" xfId="0" applyFont="1" applyFill="1">
      <alignment vertical="center"/>
    </xf>
    <xf numFmtId="0" fontId="0" fillId="9" borderId="0" xfId="0" applyFill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0" fillId="2" borderId="26" xfId="0" applyFill="1" applyBorder="1">
      <alignment vertical="center"/>
    </xf>
    <xf numFmtId="0" fontId="0" fillId="2" borderId="27" xfId="0" applyFill="1" applyBorder="1">
      <alignment vertical="center"/>
    </xf>
    <xf numFmtId="0" fontId="0" fillId="2" borderId="28" xfId="0" applyFill="1" applyBorder="1">
      <alignment vertical="center"/>
    </xf>
    <xf numFmtId="0" fontId="0" fillId="2" borderId="29" xfId="0" applyFill="1" applyBorder="1">
      <alignment vertical="center"/>
    </xf>
    <xf numFmtId="0" fontId="8" fillId="6" borderId="0" xfId="0" applyFont="1" applyFill="1">
      <alignment vertical="center"/>
    </xf>
    <xf numFmtId="0" fontId="9" fillId="6" borderId="0" xfId="0" applyFont="1" applyFill="1">
      <alignment vertical="center"/>
    </xf>
    <xf numFmtId="49" fontId="8" fillId="11" borderId="0" xfId="0" applyNumberFormat="1" applyFont="1" applyFill="1" applyAlignment="1">
      <alignment horizontal="center" vertical="center"/>
    </xf>
    <xf numFmtId="0" fontId="0" fillId="0" borderId="1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9" borderId="0" xfId="0" applyFont="1" applyFill="1">
      <alignment vertical="center"/>
    </xf>
    <xf numFmtId="0" fontId="2" fillId="10" borderId="24" xfId="0" applyFont="1" applyFill="1" applyBorder="1">
      <alignment vertical="center"/>
    </xf>
    <xf numFmtId="0" fontId="2" fillId="10" borderId="25" xfId="0" applyFont="1" applyFill="1" applyBorder="1">
      <alignment vertical="center"/>
    </xf>
    <xf numFmtId="0" fontId="2" fillId="10" borderId="26" xfId="0" applyFont="1" applyFill="1" applyBorder="1">
      <alignment vertical="center"/>
    </xf>
    <xf numFmtId="0" fontId="4" fillId="7" borderId="0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 wrapText="1"/>
    </xf>
    <xf numFmtId="0" fontId="4" fillId="9" borderId="0" xfId="0" applyFont="1" applyFill="1" applyBorder="1">
      <alignment vertical="center"/>
    </xf>
    <xf numFmtId="0" fontId="0" fillId="9" borderId="0" xfId="0" applyFill="1" applyBorder="1">
      <alignment vertical="center"/>
    </xf>
    <xf numFmtId="0" fontId="2" fillId="9" borderId="32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2" fillId="9" borderId="33" xfId="0" applyFont="1" applyFill="1" applyBorder="1">
      <alignment vertical="center"/>
    </xf>
    <xf numFmtId="0" fontId="4" fillId="9" borderId="34" xfId="0" applyFont="1" applyFill="1" applyBorder="1" applyAlignment="1">
      <alignment horizontal="left" vertical="center" indent="1"/>
    </xf>
    <xf numFmtId="0" fontId="0" fillId="9" borderId="31" xfId="0" applyFill="1" applyBorder="1">
      <alignment vertical="center"/>
    </xf>
    <xf numFmtId="0" fontId="4" fillId="9" borderId="34" xfId="0" applyFont="1" applyFill="1" applyBorder="1">
      <alignment vertical="center"/>
    </xf>
    <xf numFmtId="0" fontId="0" fillId="9" borderId="34" xfId="0" applyFill="1" applyBorder="1">
      <alignment vertical="center"/>
    </xf>
    <xf numFmtId="0" fontId="0" fillId="9" borderId="27" xfId="0" applyFill="1" applyBorder="1">
      <alignment vertical="center"/>
    </xf>
    <xf numFmtId="0" fontId="0" fillId="9" borderId="28" xfId="0" applyFill="1" applyBorder="1">
      <alignment vertical="center"/>
    </xf>
    <xf numFmtId="0" fontId="0" fillId="9" borderId="29" xfId="0" applyFill="1" applyBorder="1">
      <alignment vertical="center"/>
    </xf>
    <xf numFmtId="0" fontId="7" fillId="0" borderId="30" xfId="0" applyFont="1" applyBorder="1">
      <alignment vertical="center"/>
    </xf>
    <xf numFmtId="0" fontId="2" fillId="10" borderId="30" xfId="0" applyFont="1" applyFill="1" applyBorder="1">
      <alignment vertical="center"/>
    </xf>
    <xf numFmtId="0" fontId="10" fillId="0" borderId="30" xfId="0" applyFont="1" applyBorder="1" applyAlignment="1">
      <alignment vertical="center" wrapText="1"/>
    </xf>
    <xf numFmtId="0" fontId="2" fillId="10" borderId="30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35" xfId="0" quotePrefix="1" applyBorder="1">
      <alignment vertical="center"/>
    </xf>
    <xf numFmtId="0" fontId="0" fillId="0" borderId="35" xfId="0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7" fillId="0" borderId="36" xfId="0" applyFont="1" applyBorder="1">
      <alignment vertical="center"/>
    </xf>
    <xf numFmtId="0" fontId="7" fillId="0" borderId="36" xfId="0" quotePrefix="1" applyFont="1" applyBorder="1">
      <alignment vertical="center"/>
    </xf>
    <xf numFmtId="0" fontId="7" fillId="0" borderId="37" xfId="0" applyFont="1" applyBorder="1">
      <alignment vertical="center"/>
    </xf>
    <xf numFmtId="0" fontId="0" fillId="0" borderId="37" xfId="0" applyBorder="1">
      <alignment vertical="center"/>
    </xf>
    <xf numFmtId="0" fontId="7" fillId="0" borderId="38" xfId="0" applyFont="1" applyBorder="1">
      <alignment vertical="center"/>
    </xf>
    <xf numFmtId="0" fontId="0" fillId="0" borderId="38" xfId="0" applyBorder="1">
      <alignment vertical="center"/>
    </xf>
    <xf numFmtId="0" fontId="0" fillId="0" borderId="37" xfId="0" quotePrefix="1" applyBorder="1">
      <alignment vertical="center"/>
    </xf>
    <xf numFmtId="0" fontId="7" fillId="0" borderId="35" xfId="0" applyFont="1" applyBorder="1">
      <alignment vertical="center"/>
    </xf>
    <xf numFmtId="49" fontId="0" fillId="0" borderId="13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20" xfId="0" applyNumberFormat="1" applyFill="1" applyBorder="1" applyAlignment="1">
      <alignment horizontal="center" vertical="center"/>
    </xf>
    <xf numFmtId="49" fontId="0" fillId="0" borderId="23" xfId="0" applyNumberForma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30" xfId="0" applyFont="1" applyBorder="1">
      <alignment vertical="center"/>
    </xf>
    <xf numFmtId="0" fontId="6" fillId="2" borderId="27" xfId="1" applyFill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114300</xdr:rowOff>
        </xdr:from>
        <xdr:to>
          <xdr:col>12</xdr:col>
          <xdr:colOff>0</xdr:colOff>
          <xdr:row>18</xdr:row>
          <xdr:rowOff>66675</xdr:rowOff>
        </xdr:to>
        <xdr:sp macro="" textlink="">
          <xdr:nvSpPr>
            <xdr:cNvPr id="1025" name="GenerateTestSui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chrome.google.com/webstore/detail/selenium-ide/mooikfkahbdckldjjndioackbalphokd" TargetMode="External"/><Relationship Id="rId1" Type="http://schemas.openxmlformats.org/officeDocument/2006/relationships/hyperlink" Target="https://addons.mozilla.org/ja/firefox/addon/selenium-i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agahai-wa-neko-de-aru.jp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004BB-FE7B-4F50-80DD-80931EBCF87F}">
  <sheetPr codeName="Sheet5"/>
  <dimension ref="B2:D13"/>
  <sheetViews>
    <sheetView showGridLines="0" tabSelected="1" workbookViewId="0"/>
  </sheetViews>
  <sheetFormatPr defaultRowHeight="16.5" x14ac:dyDescent="0.35"/>
  <cols>
    <col min="1" max="1" width="2.85546875" customWidth="1"/>
    <col min="2" max="2" width="5" customWidth="1"/>
  </cols>
  <sheetData>
    <row r="2" spans="2:4" x14ac:dyDescent="0.35">
      <c r="B2" s="33" t="s">
        <v>58</v>
      </c>
    </row>
    <row r="4" spans="2:4" x14ac:dyDescent="0.35">
      <c r="B4" s="15">
        <v>1</v>
      </c>
      <c r="C4" s="33" t="s">
        <v>59</v>
      </c>
    </row>
    <row r="5" spans="2:4" x14ac:dyDescent="0.35">
      <c r="B5" s="49"/>
      <c r="C5" t="s">
        <v>60</v>
      </c>
      <c r="D5" s="34" t="s">
        <v>63</v>
      </c>
    </row>
    <row r="6" spans="2:4" x14ac:dyDescent="0.35">
      <c r="B6" s="49"/>
      <c r="C6" t="s">
        <v>61</v>
      </c>
      <c r="D6" s="34" t="s">
        <v>62</v>
      </c>
    </row>
    <row r="7" spans="2:4" x14ac:dyDescent="0.35">
      <c r="B7" s="15">
        <v>2</v>
      </c>
      <c r="C7" s="37" t="s">
        <v>64</v>
      </c>
    </row>
    <row r="8" spans="2:4" x14ac:dyDescent="0.35">
      <c r="B8" s="15">
        <v>3</v>
      </c>
      <c r="C8" s="37" t="s">
        <v>39</v>
      </c>
    </row>
    <row r="9" spans="2:4" x14ac:dyDescent="0.35">
      <c r="B9" s="15">
        <v>4</v>
      </c>
      <c r="C9" s="37" t="s">
        <v>65</v>
      </c>
    </row>
    <row r="10" spans="2:4" x14ac:dyDescent="0.35">
      <c r="B10" s="15">
        <v>5</v>
      </c>
      <c r="C10" s="37" t="s">
        <v>66</v>
      </c>
    </row>
    <row r="11" spans="2:4" x14ac:dyDescent="0.35">
      <c r="B11" s="49"/>
      <c r="C11" s="38" t="s">
        <v>72</v>
      </c>
    </row>
    <row r="12" spans="2:4" x14ac:dyDescent="0.35">
      <c r="B12" s="49"/>
      <c r="C12" s="50" t="s">
        <v>73</v>
      </c>
    </row>
    <row r="13" spans="2:4" x14ac:dyDescent="0.35">
      <c r="B13" s="49"/>
    </row>
  </sheetData>
  <phoneticPr fontId="1"/>
  <hyperlinks>
    <hyperlink ref="D6" r:id="rId1" xr:uid="{28A182E2-5C0A-476B-8E67-3111C4E30D2A}"/>
    <hyperlink ref="D5" r:id="rId2" xr:uid="{FE22297B-D1CF-4ABB-A2DA-E36CAEEE96F9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3862-0775-4806-AA41-F3122DCA8A7B}">
  <sheetPr codeName="Sheet1"/>
  <dimension ref="B2:Q19"/>
  <sheetViews>
    <sheetView workbookViewId="0">
      <selection activeCell="E25" sqref="E25"/>
    </sheetView>
  </sheetViews>
  <sheetFormatPr defaultRowHeight="16.5" x14ac:dyDescent="0.35"/>
  <cols>
    <col min="1" max="2" width="3" style="36" customWidth="1"/>
    <col min="3" max="3" width="9.140625" style="36" customWidth="1"/>
    <col min="4" max="12" width="9.140625" style="36"/>
    <col min="13" max="14" width="2.85546875" style="36" customWidth="1"/>
    <col min="15" max="16384" width="9.140625" style="36"/>
  </cols>
  <sheetData>
    <row r="2" spans="2:17" ht="7.5" customHeight="1" x14ac:dyDescent="0.35">
      <c r="B2" s="59"/>
      <c r="C2" s="60"/>
      <c r="D2" s="60"/>
      <c r="E2" s="60"/>
      <c r="F2" s="60"/>
      <c r="G2" s="60"/>
      <c r="H2" s="60"/>
      <c r="I2" s="60"/>
      <c r="J2" s="60"/>
      <c r="K2" s="60"/>
      <c r="L2" s="60"/>
      <c r="M2" s="61"/>
    </row>
    <row r="3" spans="2:17" x14ac:dyDescent="0.35">
      <c r="B3" s="62" t="s">
        <v>75</v>
      </c>
      <c r="C3" s="57"/>
      <c r="D3" s="57"/>
      <c r="E3" s="57"/>
      <c r="F3" s="58"/>
      <c r="G3" s="58"/>
      <c r="H3" s="58"/>
      <c r="I3" s="58"/>
      <c r="J3" s="58"/>
      <c r="K3" s="58"/>
      <c r="L3" s="58"/>
      <c r="M3" s="63"/>
    </row>
    <row r="4" spans="2:17" ht="7.5" customHeight="1" x14ac:dyDescent="0.35">
      <c r="B4" s="64"/>
      <c r="C4" s="57"/>
      <c r="D4" s="57"/>
      <c r="E4" s="57"/>
      <c r="F4" s="58"/>
      <c r="G4" s="58"/>
      <c r="H4" s="58"/>
      <c r="I4" s="58"/>
      <c r="J4" s="58"/>
      <c r="K4" s="58"/>
      <c r="L4" s="58"/>
      <c r="M4" s="63"/>
    </row>
    <row r="5" spans="2:17" x14ac:dyDescent="0.35">
      <c r="B5" s="65"/>
      <c r="C5" s="58" t="s">
        <v>36</v>
      </c>
      <c r="D5" s="58" t="s">
        <v>37</v>
      </c>
      <c r="E5" s="58"/>
      <c r="F5" s="58"/>
      <c r="G5" s="58"/>
      <c r="H5" s="58"/>
      <c r="I5" s="58"/>
      <c r="J5" s="58"/>
      <c r="K5" s="58"/>
      <c r="L5" s="58"/>
      <c r="M5" s="63"/>
      <c r="O5" s="45" t="s">
        <v>38</v>
      </c>
      <c r="P5" s="46"/>
      <c r="Q5" s="46"/>
    </row>
    <row r="6" spans="2:17" x14ac:dyDescent="0.35">
      <c r="B6" s="65"/>
      <c r="C6" s="58"/>
      <c r="D6" s="58" t="s">
        <v>39</v>
      </c>
      <c r="E6" s="58"/>
      <c r="F6" s="58"/>
      <c r="G6" s="58"/>
      <c r="H6" s="58"/>
      <c r="I6" s="58"/>
      <c r="J6" s="58"/>
      <c r="K6" s="58"/>
      <c r="L6" s="58"/>
      <c r="M6" s="63"/>
      <c r="O6" s="46" t="s">
        <v>40</v>
      </c>
      <c r="P6" s="46"/>
      <c r="Q6" s="46">
        <v>2</v>
      </c>
    </row>
    <row r="7" spans="2:17" x14ac:dyDescent="0.35">
      <c r="B7" s="65"/>
      <c r="C7" s="58"/>
      <c r="D7" s="58" t="s">
        <v>41</v>
      </c>
      <c r="E7" s="58"/>
      <c r="F7" s="58"/>
      <c r="G7" s="58"/>
      <c r="H7" s="58"/>
      <c r="I7" s="58"/>
      <c r="J7" s="58"/>
      <c r="K7" s="58"/>
      <c r="L7" s="58"/>
      <c r="M7" s="63"/>
      <c r="O7" s="46" t="s">
        <v>31</v>
      </c>
      <c r="P7" s="46"/>
      <c r="Q7" s="46" t="str" cm="1">
        <f t="array" ref="Q7">INDEX(Selenium!4:4,0,Q6+5)</f>
        <v>TestCase2</v>
      </c>
    </row>
    <row r="8" spans="2:17" x14ac:dyDescent="0.35">
      <c r="B8" s="65"/>
      <c r="C8" s="58"/>
      <c r="D8" s="58" t="s">
        <v>42</v>
      </c>
      <c r="E8" s="58"/>
      <c r="F8" s="58"/>
      <c r="G8" s="58"/>
      <c r="H8" s="58"/>
      <c r="I8" s="58"/>
      <c r="J8" s="58"/>
      <c r="K8" s="58"/>
      <c r="L8" s="58"/>
      <c r="M8" s="63"/>
      <c r="O8" s="46" t="s">
        <v>30</v>
      </c>
      <c r="P8" s="46"/>
      <c r="Q8" s="46">
        <v>14</v>
      </c>
    </row>
    <row r="9" spans="2:17" x14ac:dyDescent="0.35">
      <c r="B9" s="65"/>
      <c r="C9" s="58"/>
      <c r="D9" s="58"/>
      <c r="E9" s="58"/>
      <c r="F9" s="58"/>
      <c r="G9" s="58"/>
      <c r="H9" s="58"/>
      <c r="I9" s="58"/>
      <c r="J9" s="58"/>
      <c r="K9" s="58"/>
      <c r="L9" s="58"/>
      <c r="M9" s="63"/>
      <c r="O9" s="46" t="s">
        <v>43</v>
      </c>
      <c r="P9" s="46"/>
      <c r="Q9" s="46" t="str">
        <f ca="1">LOWER(DEC2HEX(RANDBETWEEN(0,255)))&amp;LOWER(DEC2HEX(RANDBETWEEN(0,255)))&amp;LOWER(DEC2HEX(RANDBETWEEN(0,255)))&amp;LOWER(DEC2HEX(RANDBETWEEN(0,255)))&amp;"-"&amp;LOWER(DEC2HEX(RANDBETWEEN(0,255)))&amp;LOWER(DEC2HEX(RANDBETWEEN(0,255)))&amp;"-"&amp;LOWER(DEC2HEX(RANDBETWEEN(0,255)))&amp;LOWER(DEC2HEX(RANDBETWEEN(0,255)))&amp;"-"&amp;LOWER(DEC2HEX(RANDBETWEEN(0,255)))&amp;LOWER(DEC2HEX(RANDBETWEEN(0,255)))&amp;"-"&amp;LOWER(DEC2HEX(RANDBETWEEN(0,255)))&amp;LOWER(DEC2HEX(RANDBETWEEN(0,255)))&amp;LOWER(DEC2HEX(RANDBETWEEN(0,255)))&amp;LOWER(DEC2HEX(RANDBETWEEN(0,255)))&amp;LOWER(DEC2HEX(RANDBETWEEN(0,255)))&amp;LOWER(DEC2HEX(RANDBETWEEN(0,255)))</f>
        <v>b98d4da9-75a6-7a7c-c1f7-858f71c2dd2</v>
      </c>
    </row>
    <row r="10" spans="2:17" x14ac:dyDescent="0.35">
      <c r="B10" s="65"/>
      <c r="C10" s="51" t="s">
        <v>44</v>
      </c>
      <c r="D10" s="52"/>
      <c r="E10" s="53"/>
      <c r="F10" s="39" t="s">
        <v>113</v>
      </c>
      <c r="G10" s="40"/>
      <c r="H10" s="40"/>
      <c r="I10" s="40"/>
      <c r="J10" s="40"/>
      <c r="K10" s="40"/>
      <c r="L10" s="41"/>
      <c r="M10" s="63"/>
      <c r="O10" s="46" t="s">
        <v>45</v>
      </c>
      <c r="P10" s="46"/>
      <c r="Q10" s="46"/>
    </row>
    <row r="11" spans="2:17" x14ac:dyDescent="0.35">
      <c r="B11" s="65"/>
      <c r="C11" s="51" t="s">
        <v>46</v>
      </c>
      <c r="D11" s="52"/>
      <c r="E11" s="53"/>
      <c r="F11" s="42" t="str" cm="1">
        <f t="array" aca="1" ref="F11" ca="1">LEFT(CELL("filename"),FIND("@",SUBSTITUTE(CELL("filename"),"\","@",LEN(CELL("filename"))-LEN(SUBSTITUTE(CELL("filename"),"\",""))),1))</f>
        <v>C:\Users\ts-takuya.a.kumagai\Desktop\work\EFO\EFO Selenium\</v>
      </c>
      <c r="G11" s="43"/>
      <c r="H11" s="43"/>
      <c r="I11" s="43"/>
      <c r="J11" s="43"/>
      <c r="K11" s="43"/>
      <c r="L11" s="44"/>
      <c r="M11" s="63"/>
      <c r="O11" s="46" t="s">
        <v>47</v>
      </c>
      <c r="P11" s="46"/>
      <c r="Q11" s="46" t="str" cm="1">
        <f t="array" aca="1" ref="Q11" ca="1">IF(INDIRECT("Selenium!R"&amp;MATCH($Q$8,Selenium!A:A,0)&amp;"C"&amp;(MATCH(Q7,Selenium!4:4,0)),FALSE)="","",VLOOKUP(INDIRECT("Selenium!E"&amp;MATCH($Q$8,Selenium!A:A,0),TRUE),'command master'!$A:$C,2,FALSE))</f>
        <v>run script</v>
      </c>
    </row>
    <row r="12" spans="2:17" x14ac:dyDescent="0.35">
      <c r="B12" s="65"/>
      <c r="C12" s="51" t="s">
        <v>56</v>
      </c>
      <c r="D12" s="52"/>
      <c r="E12" s="53"/>
      <c r="F12" s="92" t="s">
        <v>114</v>
      </c>
      <c r="G12" s="43"/>
      <c r="H12" s="43"/>
      <c r="I12" s="43"/>
      <c r="J12" s="43"/>
      <c r="K12" s="43"/>
      <c r="L12" s="44"/>
      <c r="M12" s="63"/>
      <c r="O12" s="46" t="s">
        <v>49</v>
      </c>
      <c r="P12" s="46"/>
      <c r="Q12" s="46" t="str" cm="1">
        <f t="array" aca="1" ref="Q12" ca="1">SUBSTITUTE(SUBSTITUTE(IF(INDIRECT("Selenium!R"&amp;MATCH($Q$8,Selenium!A:A,0)&amp;"C"&amp;(MATCH(Q7,Selenium!4:4,0)),FALSE)="","",IF(INDIRECT("Selenium!D"&amp;MATCH($Q$8,Selenium!A:A,0),TRUE)&lt;&gt;"",SUBSTITUTE(SUBSTITUTE(VLOOKUP(INDIRECT("Selenium!E"&amp;MATCH($Q$8,Selenium!A:A,0),TRUE),'command master'!$A:$C,3,FALSE),"#selector#",VLOOKUP(INDIRECT("Selenium!D"&amp;MATCH($Q$8,Selenium!A:A,0),TRUE),'target master'!$B:$C,2,FALSE)),"#target#",INDIRECT("Selenium!R"&amp;MATCH($Q$8,Selenium!A:A,0)&amp;"C"&amp;(MATCH(Q7,Selenium!4:4,0)),FALSE)),SUBSTITUTE(VLOOKUP(INDIRECT("Selenium!E"&amp;MATCH($Q$8,Selenium!A:A,0),TRUE),'command master'!$A:$C,3,FALSE),"#target#",INDIRECT("Selenium!R"&amp;MATCH($Q$8,Selenium!A:A,0)&amp;"C"&amp;(MATCH(Q7,Selenium!4:4,0)),FALSE)))),"\","\\"),"""","\""")</f>
        <v>if(document.querySelector(\".complete\")) {document.querySelector(\".complete\").click()}</v>
      </c>
    </row>
    <row r="13" spans="2:17" x14ac:dyDescent="0.35">
      <c r="B13" s="65"/>
      <c r="C13" s="51" t="s">
        <v>48</v>
      </c>
      <c r="D13" s="52"/>
      <c r="E13" s="53"/>
      <c r="F13" s="39">
        <f>COUNTA(Selenium!4:4)+COUNT(Selenium!4:4)</f>
        <v>2</v>
      </c>
      <c r="G13" s="40"/>
      <c r="H13" s="40"/>
      <c r="I13" s="40"/>
      <c r="J13" s="40"/>
      <c r="K13" s="40"/>
      <c r="L13" s="41"/>
      <c r="M13" s="63"/>
      <c r="O13" s="46" t="s">
        <v>51</v>
      </c>
      <c r="P13" s="46"/>
      <c r="Q13" s="46" t="s">
        <v>52</v>
      </c>
    </row>
    <row r="14" spans="2:17" x14ac:dyDescent="0.35">
      <c r="B14" s="65"/>
      <c r="C14" s="51" t="s">
        <v>50</v>
      </c>
      <c r="D14" s="52"/>
      <c r="E14" s="53"/>
      <c r="F14" s="39">
        <f>MIN(Selenium!A:A)</f>
        <v>1</v>
      </c>
      <c r="G14" s="40"/>
      <c r="H14" s="40"/>
      <c r="I14" s="40"/>
      <c r="J14" s="40"/>
      <c r="K14" s="40"/>
      <c r="L14" s="41"/>
      <c r="M14" s="63"/>
      <c r="O14" s="46" t="s">
        <v>54</v>
      </c>
      <c r="P14" s="46"/>
      <c r="Q14" s="46" cm="1">
        <f t="array" aca="1" ref="Q14" ca="1">IF(INDIRECT("Selenium!R"&amp;MATCH($Q$8,Selenium!A:A,0)&amp;"C"&amp;(MATCH(Q7,Selenium!4:4,0)),FALSE)="","",VLOOKUP(INDIRECT("Selenium!E"&amp;MATCH($Q$8,Selenium!A:A,0),TRUE),'command master'!$A:$D,4,FALSE))</f>
        <v>0</v>
      </c>
    </row>
    <row r="15" spans="2:17" x14ac:dyDescent="0.35">
      <c r="B15" s="65"/>
      <c r="C15" s="51" t="s">
        <v>53</v>
      </c>
      <c r="D15" s="52"/>
      <c r="E15" s="53"/>
      <c r="F15" s="39">
        <f>MAX(Selenium!A:A)</f>
        <v>14</v>
      </c>
      <c r="G15" s="40"/>
      <c r="H15" s="40"/>
      <c r="I15" s="40"/>
      <c r="J15" s="40"/>
      <c r="K15" s="40"/>
      <c r="L15" s="41"/>
      <c r="M15" s="63"/>
      <c r="O15" s="46" t="s">
        <v>55</v>
      </c>
      <c r="P15" s="46"/>
      <c r="Q15" s="46" t="str">
        <f ca="1">IF(Q11="","","{"&amp;""""&amp;O9&amp;""":"""&amp;Q9&amp;""","&amp;""""&amp;O10&amp;""":"""&amp;Q10&amp;""","&amp;""""&amp;O11&amp;""":"""&amp;Q11&amp;""","&amp;""""&amp;O12&amp;""":"""&amp;Q12&amp;""","&amp;""""&amp;O13&amp;""":"&amp;Q13&amp;","&amp;""""&amp;O14&amp;""":"""&amp;Q14&amp;"""}")</f>
        <v>{"id":"b98d4da9-75a6-7a7c-c1f7-858f71c2dd2","comment":"","command":"run script","target":"if(document.querySelector(\".complete\")) {document.querySelector(\".complete\").click()}","targets":[],"value":"0"}</v>
      </c>
    </row>
    <row r="16" spans="2:17" x14ac:dyDescent="0.35">
      <c r="B16" s="65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63"/>
    </row>
    <row r="17" spans="2:13" x14ac:dyDescent="0.35">
      <c r="B17" s="65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63"/>
    </row>
    <row r="18" spans="2:13" x14ac:dyDescent="0.35">
      <c r="B18" s="65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63"/>
    </row>
    <row r="19" spans="2:13" x14ac:dyDescent="0.35">
      <c r="B19" s="66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8"/>
    </row>
  </sheetData>
  <mergeCells count="6">
    <mergeCell ref="C10:E10"/>
    <mergeCell ref="C11:E11"/>
    <mergeCell ref="C13:E13"/>
    <mergeCell ref="C14:E14"/>
    <mergeCell ref="C15:E15"/>
    <mergeCell ref="C12:E12"/>
  </mergeCells>
  <phoneticPr fontId="1"/>
  <hyperlinks>
    <hyperlink ref="F12" r:id="rId1" xr:uid="{C18B7525-F775-40D4-8DB3-BF4644C35DCD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GenerateTestSuite">
          <controlPr defaultSize="0" autoLine="0" r:id="rId6">
            <anchor moveWithCells="1">
              <from>
                <xdr:col>8</xdr:col>
                <xdr:colOff>104775</xdr:colOff>
                <xdr:row>15</xdr:row>
                <xdr:rowOff>114300</xdr:rowOff>
              </from>
              <to>
                <xdr:col>12</xdr:col>
                <xdr:colOff>0</xdr:colOff>
                <xdr:row>18</xdr:row>
                <xdr:rowOff>66675</xdr:rowOff>
              </to>
            </anchor>
          </controlPr>
        </control>
      </mc:Choice>
      <mc:Fallback>
        <control shapeId="1025" r:id="rId5" name="GenerateTestSui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04CFE-6C5B-4E1C-877B-808A772D60A0}">
  <sheetPr codeName="Sheet2"/>
  <dimension ref="A2:G19"/>
  <sheetViews>
    <sheetView showGridLines="0" topLeftCell="A2" zoomScale="80" zoomScaleNormal="80" workbookViewId="0">
      <pane xSplit="5" ySplit="4" topLeftCell="F6" activePane="bottomRight" state="frozen"/>
      <selection activeCell="A2" sqref="A2"/>
      <selection pane="topRight" activeCell="F2" sqref="F2"/>
      <selection pane="bottomLeft" activeCell="A6" sqref="A6"/>
      <selection pane="bottomRight" activeCell="D10" sqref="D10"/>
    </sheetView>
  </sheetViews>
  <sheetFormatPr defaultRowHeight="16.5" x14ac:dyDescent="0.35"/>
  <cols>
    <col min="1" max="1" width="5.140625" style="32" customWidth="1"/>
    <col min="2" max="2" width="9.140625" style="15"/>
    <col min="3" max="3" width="4" style="19" customWidth="1"/>
    <col min="4" max="4" width="44.28515625" style="9" customWidth="1"/>
    <col min="5" max="5" width="20.42578125" customWidth="1"/>
    <col min="6" max="7" width="40" style="5" customWidth="1"/>
    <col min="8" max="8" width="2.5703125" customWidth="1"/>
    <col min="9" max="9" width="12.7109375" customWidth="1"/>
  </cols>
  <sheetData>
    <row r="2" spans="1:7" x14ac:dyDescent="0.35">
      <c r="B2" s="35" t="s">
        <v>115</v>
      </c>
    </row>
    <row r="4" spans="1:7" ht="17.25" thickBot="1" x14ac:dyDescent="0.4">
      <c r="F4" s="47" t="s">
        <v>76</v>
      </c>
      <c r="G4" s="47" t="s">
        <v>77</v>
      </c>
    </row>
    <row r="5" spans="1:7" x14ac:dyDescent="0.35">
      <c r="B5" s="13" t="s">
        <v>10</v>
      </c>
      <c r="C5" s="55" t="s">
        <v>15</v>
      </c>
      <c r="D5" s="55"/>
      <c r="E5" s="1" t="s">
        <v>14</v>
      </c>
      <c r="F5" s="6" t="s">
        <v>16</v>
      </c>
      <c r="G5" s="6" t="s">
        <v>16</v>
      </c>
    </row>
    <row r="6" spans="1:7" ht="26.25" customHeight="1" x14ac:dyDescent="0.35">
      <c r="A6" s="31">
        <f>ROW(A6)-5</f>
        <v>1</v>
      </c>
      <c r="B6" s="16" t="s">
        <v>17</v>
      </c>
      <c r="C6" s="14"/>
      <c r="D6" s="10" t="s">
        <v>79</v>
      </c>
      <c r="E6" s="2" t="s">
        <v>0</v>
      </c>
      <c r="F6" s="48" t="str">
        <f t="shared" ref="F6:G6" si="0">baseURL</f>
        <v>https://wagahai-wa-neko-de-aru.jp</v>
      </c>
      <c r="G6" s="48" t="str">
        <f t="shared" si="0"/>
        <v>https://wagahai-wa-neko-de-aru.jp</v>
      </c>
    </row>
    <row r="7" spans="1:7" ht="26.25" customHeight="1" x14ac:dyDescent="0.35">
      <c r="A7" s="31">
        <f t="shared" ref="A7:A9" si="1">ROW(A7)-5</f>
        <v>2</v>
      </c>
      <c r="B7" s="17"/>
      <c r="C7" s="20"/>
      <c r="D7" s="11" t="s">
        <v>78</v>
      </c>
      <c r="E7" s="3" t="s">
        <v>29</v>
      </c>
      <c r="F7" s="7" t="s">
        <v>80</v>
      </c>
      <c r="G7" s="7" t="s">
        <v>35</v>
      </c>
    </row>
    <row r="8" spans="1:7" ht="23.25" customHeight="1" x14ac:dyDescent="0.35">
      <c r="A8" s="31">
        <f t="shared" si="1"/>
        <v>3</v>
      </c>
      <c r="B8" s="17"/>
      <c r="C8" s="20"/>
      <c r="D8" s="11"/>
      <c r="E8" s="3" t="s">
        <v>5</v>
      </c>
      <c r="F8" s="48" t="str">
        <f>F$4&amp;"_STEP01"</f>
        <v>TestCase01_STEP01</v>
      </c>
      <c r="G8" s="48" t="str">
        <f>G$4&amp;"_STEP0"</f>
        <v>TestCase2_STEP0</v>
      </c>
    </row>
    <row r="9" spans="1:7" ht="26.25" customHeight="1" thickBot="1" x14ac:dyDescent="0.4">
      <c r="A9" s="31">
        <f t="shared" si="1"/>
        <v>4</v>
      </c>
      <c r="B9" s="18"/>
      <c r="C9" s="21"/>
      <c r="D9" s="12" t="s">
        <v>116</v>
      </c>
      <c r="E9" s="4" t="s">
        <v>1</v>
      </c>
      <c r="F9" s="8" t="s">
        <v>81</v>
      </c>
      <c r="G9" s="8" t="s">
        <v>27</v>
      </c>
    </row>
    <row r="10" spans="1:7" ht="26.25" customHeight="1" x14ac:dyDescent="0.35">
      <c r="A10" s="31">
        <f t="shared" ref="A10:A19" si="2">ROW(A10)-5</f>
        <v>5</v>
      </c>
      <c r="B10" s="17" t="s">
        <v>17</v>
      </c>
      <c r="C10" s="54" t="s">
        <v>82</v>
      </c>
      <c r="D10" s="22" t="s">
        <v>83</v>
      </c>
      <c r="E10" s="23" t="s">
        <v>12</v>
      </c>
      <c r="F10" s="86" t="s">
        <v>87</v>
      </c>
      <c r="G10" s="86" t="s">
        <v>94</v>
      </c>
    </row>
    <row r="11" spans="1:7" ht="26.25" customHeight="1" x14ac:dyDescent="0.35">
      <c r="A11" s="31">
        <f t="shared" si="2"/>
        <v>6</v>
      </c>
      <c r="B11" s="17"/>
      <c r="C11" s="54"/>
      <c r="D11" s="22" t="s">
        <v>84</v>
      </c>
      <c r="E11" s="23" t="s">
        <v>12</v>
      </c>
      <c r="F11" s="86" t="s">
        <v>88</v>
      </c>
      <c r="G11" s="86" t="s">
        <v>95</v>
      </c>
    </row>
    <row r="12" spans="1:7" ht="26.25" customHeight="1" x14ac:dyDescent="0.35">
      <c r="A12" s="31">
        <f t="shared" si="2"/>
        <v>7</v>
      </c>
      <c r="B12" s="17"/>
      <c r="C12" s="54"/>
      <c r="D12" s="22" t="s">
        <v>85</v>
      </c>
      <c r="E12" s="23" t="s">
        <v>12</v>
      </c>
      <c r="F12" s="86" t="s">
        <v>89</v>
      </c>
      <c r="G12" s="86" t="s">
        <v>96</v>
      </c>
    </row>
    <row r="13" spans="1:7" ht="26.25" customHeight="1" x14ac:dyDescent="0.35">
      <c r="A13" s="31">
        <f t="shared" si="2"/>
        <v>8</v>
      </c>
      <c r="B13" s="17"/>
      <c r="C13" s="54"/>
      <c r="D13" s="22" t="s">
        <v>86</v>
      </c>
      <c r="E13" s="23" t="s">
        <v>12</v>
      </c>
      <c r="F13" s="86" t="s">
        <v>90</v>
      </c>
      <c r="G13" s="86" t="s">
        <v>95</v>
      </c>
    </row>
    <row r="14" spans="1:7" ht="26.25" customHeight="1" x14ac:dyDescent="0.35">
      <c r="A14" s="31">
        <f t="shared" si="2"/>
        <v>9</v>
      </c>
      <c r="B14" s="17"/>
      <c r="C14" s="56" t="s">
        <v>19</v>
      </c>
      <c r="D14" s="25" t="s">
        <v>20</v>
      </c>
      <c r="E14" s="26" t="s">
        <v>24</v>
      </c>
      <c r="F14" s="87" t="s">
        <v>91</v>
      </c>
      <c r="G14" s="87" t="s">
        <v>97</v>
      </c>
    </row>
    <row r="15" spans="1:7" ht="26.25" customHeight="1" x14ac:dyDescent="0.35">
      <c r="A15" s="31">
        <f t="shared" si="2"/>
        <v>10</v>
      </c>
      <c r="B15" s="17"/>
      <c r="C15" s="54"/>
      <c r="D15" s="22" t="s">
        <v>21</v>
      </c>
      <c r="E15" s="23" t="s">
        <v>24</v>
      </c>
      <c r="F15" s="86" t="s">
        <v>92</v>
      </c>
      <c r="G15" s="86" t="s">
        <v>98</v>
      </c>
    </row>
    <row r="16" spans="1:7" ht="26.25" customHeight="1" x14ac:dyDescent="0.35">
      <c r="A16" s="31">
        <f t="shared" si="2"/>
        <v>11</v>
      </c>
      <c r="B16" s="17"/>
      <c r="C16" s="54"/>
      <c r="D16" s="27" t="s">
        <v>22</v>
      </c>
      <c r="E16" s="28" t="s">
        <v>24</v>
      </c>
      <c r="F16" s="88" t="s">
        <v>93</v>
      </c>
      <c r="G16" s="88" t="s">
        <v>98</v>
      </c>
    </row>
    <row r="17" spans="1:7" ht="26.25" customHeight="1" x14ac:dyDescent="0.35">
      <c r="A17" s="31">
        <f t="shared" si="2"/>
        <v>12</v>
      </c>
      <c r="B17" s="17"/>
      <c r="C17" s="24" t="s">
        <v>23</v>
      </c>
      <c r="D17" s="29" t="s">
        <v>23</v>
      </c>
      <c r="E17" s="30" t="s">
        <v>28</v>
      </c>
      <c r="F17" s="89" t="s">
        <v>26</v>
      </c>
      <c r="G17" s="89" t="s">
        <v>26</v>
      </c>
    </row>
    <row r="18" spans="1:7" ht="26.25" customHeight="1" x14ac:dyDescent="0.35">
      <c r="A18" s="31">
        <f t="shared" si="2"/>
        <v>13</v>
      </c>
      <c r="B18" s="17"/>
      <c r="C18" s="20"/>
      <c r="D18" s="11"/>
      <c r="E18" s="3" t="s">
        <v>5</v>
      </c>
      <c r="F18" s="48" t="str">
        <f>F$4&amp;"_STEP1"</f>
        <v>TestCase01_STEP1</v>
      </c>
      <c r="G18" s="48" t="str">
        <f t="shared" ref="G18" si="3">G$4&amp;"_STEP1"</f>
        <v>TestCase2_STEP1</v>
      </c>
    </row>
    <row r="19" spans="1:7" ht="26.25" customHeight="1" thickBot="1" x14ac:dyDescent="0.4">
      <c r="A19" s="31">
        <f t="shared" si="2"/>
        <v>14</v>
      </c>
      <c r="B19" s="18"/>
      <c r="C19" s="21"/>
      <c r="D19" s="12" t="s">
        <v>99</v>
      </c>
      <c r="E19" s="4" t="s">
        <v>1</v>
      </c>
      <c r="F19" s="8" t="s">
        <v>99</v>
      </c>
      <c r="G19" s="8" t="s">
        <v>99</v>
      </c>
    </row>
  </sheetData>
  <mergeCells count="3">
    <mergeCell ref="C5:D5"/>
    <mergeCell ref="C10:C13"/>
    <mergeCell ref="C14:C16"/>
  </mergeCells>
  <phoneticPr fontId="1"/>
  <dataValidations count="2">
    <dataValidation type="list" allowBlank="1" showInputMessage="1" showErrorMessage="1" sqref="D6:D21 F20:I21 H6:J19" xr:uid="{885B6989-2167-42B4-8E14-C9667EB7E873}">
      <formula1>target_selection</formula1>
    </dataValidation>
    <dataValidation type="list" allowBlank="1" showInputMessage="1" showErrorMessage="1" sqref="E6:E21" xr:uid="{DC0BBF46-2740-4C6E-A0E4-7FE010BE464A}">
      <formula1>command_keywords</formula1>
    </dataValidation>
  </dataValidations>
  <pageMargins left="0.7" right="0.7" top="0.75" bottom="0.75" header="0.3" footer="0.3"/>
  <pageSetup orientation="portrait" r:id="rId1"/>
  <ignoredErrors>
    <ignoredError sqref="F14:G16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7D549-7FC5-465B-B56C-BC112110F2EF}">
  <sheetPr codeName="Sheet3"/>
  <dimension ref="A1:C16"/>
  <sheetViews>
    <sheetView showGridLines="0" workbookViewId="0">
      <selection activeCell="B7" sqref="B7"/>
    </sheetView>
  </sheetViews>
  <sheetFormatPr defaultRowHeight="16.5" x14ac:dyDescent="0.35"/>
  <cols>
    <col min="1" max="1" width="7.42578125" style="73" customWidth="1"/>
    <col min="2" max="2" width="32" bestFit="1" customWidth="1"/>
    <col min="3" max="3" width="36.7109375" bestFit="1" customWidth="1"/>
  </cols>
  <sheetData>
    <row r="1" spans="1:3" x14ac:dyDescent="0.35">
      <c r="B1" s="72" t="s">
        <v>11</v>
      </c>
      <c r="C1" s="72" t="s">
        <v>112</v>
      </c>
    </row>
    <row r="2" spans="1:3" x14ac:dyDescent="0.35">
      <c r="B2" s="74" t="s">
        <v>32</v>
      </c>
      <c r="C2" s="75"/>
    </row>
    <row r="3" spans="1:3" x14ac:dyDescent="0.35">
      <c r="B3" s="76" t="s">
        <v>71</v>
      </c>
      <c r="C3" s="77"/>
    </row>
    <row r="4" spans="1:3" x14ac:dyDescent="0.35">
      <c r="B4" s="84" t="s">
        <v>111</v>
      </c>
      <c r="C4" s="81"/>
    </row>
    <row r="5" spans="1:3" x14ac:dyDescent="0.35">
      <c r="A5" s="73" t="s">
        <v>103</v>
      </c>
      <c r="B5" s="85" t="s">
        <v>100</v>
      </c>
      <c r="C5" s="75" t="s">
        <v>101</v>
      </c>
    </row>
    <row r="6" spans="1:3" x14ac:dyDescent="0.35">
      <c r="B6" s="80" t="s">
        <v>116</v>
      </c>
      <c r="C6" s="81" t="s">
        <v>102</v>
      </c>
    </row>
    <row r="7" spans="1:3" x14ac:dyDescent="0.35">
      <c r="A7" s="73" t="s">
        <v>104</v>
      </c>
      <c r="B7" s="85" t="s">
        <v>83</v>
      </c>
      <c r="C7" s="75" t="s">
        <v>105</v>
      </c>
    </row>
    <row r="8" spans="1:3" x14ac:dyDescent="0.35">
      <c r="B8" s="78" t="s">
        <v>84</v>
      </c>
      <c r="C8" s="77" t="s">
        <v>18</v>
      </c>
    </row>
    <row r="9" spans="1:3" x14ac:dyDescent="0.35">
      <c r="B9" s="78" t="s">
        <v>85</v>
      </c>
      <c r="C9" s="77" t="s">
        <v>106</v>
      </c>
    </row>
    <row r="10" spans="1:3" x14ac:dyDescent="0.35">
      <c r="B10" s="78" t="s">
        <v>86</v>
      </c>
      <c r="C10" s="77" t="s">
        <v>34</v>
      </c>
    </row>
    <row r="11" spans="1:3" x14ac:dyDescent="0.35">
      <c r="B11" s="78" t="s">
        <v>20</v>
      </c>
      <c r="C11" s="77" t="s">
        <v>107</v>
      </c>
    </row>
    <row r="12" spans="1:3" x14ac:dyDescent="0.35">
      <c r="B12" s="79" t="s">
        <v>21</v>
      </c>
      <c r="C12" s="77" t="s">
        <v>108</v>
      </c>
    </row>
    <row r="13" spans="1:3" x14ac:dyDescent="0.35">
      <c r="B13" s="78" t="s">
        <v>22</v>
      </c>
      <c r="C13" s="77" t="s">
        <v>109</v>
      </c>
    </row>
    <row r="14" spans="1:3" x14ac:dyDescent="0.35">
      <c r="B14" s="80" t="s">
        <v>23</v>
      </c>
      <c r="C14" s="81" t="s">
        <v>25</v>
      </c>
    </row>
    <row r="15" spans="1:3" x14ac:dyDescent="0.35">
      <c r="A15" s="73" t="s">
        <v>99</v>
      </c>
      <c r="B15" s="82" t="s">
        <v>99</v>
      </c>
      <c r="C15" s="83" t="s">
        <v>110</v>
      </c>
    </row>
    <row r="16" spans="1:3" x14ac:dyDescent="0.35">
      <c r="B16" s="80" t="s">
        <v>74</v>
      </c>
      <c r="C16" s="81"/>
    </row>
  </sheetData>
  <phoneticPr fontId="1"/>
  <dataValidations count="1">
    <dataValidation type="list" allowBlank="1" showInputMessage="1" showErrorMessage="1" sqref="A12:A14 B13:B14 D12:XFD14 C12:C13" xr:uid="{E9398187-4E4C-4B21-8D9C-4B634C2B73E7}">
      <formula1>target_selection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9935-12C1-442D-8DA6-9BD0A88D1173}">
  <sheetPr codeName="Sheet4"/>
  <dimension ref="A1:D10"/>
  <sheetViews>
    <sheetView showGridLines="0" workbookViewId="0"/>
  </sheetViews>
  <sheetFormatPr defaultRowHeight="16.5" x14ac:dyDescent="0.35"/>
  <cols>
    <col min="1" max="1" width="21.85546875" style="90" customWidth="1"/>
    <col min="2" max="2" width="26.140625" style="90" customWidth="1"/>
    <col min="3" max="3" width="112.28515625" style="90" customWidth="1"/>
    <col min="4" max="4" width="21.85546875" style="90" customWidth="1"/>
    <col min="5" max="16384" width="9.140625" style="90"/>
  </cols>
  <sheetData>
    <row r="1" spans="1:4" x14ac:dyDescent="0.35">
      <c r="A1" s="70" t="s">
        <v>3</v>
      </c>
      <c r="B1" s="70" t="s">
        <v>4</v>
      </c>
      <c r="C1" s="70" t="s">
        <v>8</v>
      </c>
      <c r="D1" s="70" t="s">
        <v>9</v>
      </c>
    </row>
    <row r="2" spans="1:4" x14ac:dyDescent="0.35">
      <c r="A2" s="91" t="s">
        <v>0</v>
      </c>
      <c r="B2" s="91" t="s">
        <v>0</v>
      </c>
      <c r="C2" s="71" t="s">
        <v>33</v>
      </c>
      <c r="D2" s="91"/>
    </row>
    <row r="3" spans="1:4" x14ac:dyDescent="0.35">
      <c r="A3" s="91" t="s">
        <v>2</v>
      </c>
      <c r="B3" s="91" t="s">
        <v>7</v>
      </c>
      <c r="C3" s="71" t="s">
        <v>70</v>
      </c>
      <c r="D3" s="91"/>
    </row>
    <row r="4" spans="1:4" x14ac:dyDescent="0.35">
      <c r="A4" s="91" t="s">
        <v>29</v>
      </c>
      <c r="B4" s="91" t="s">
        <v>7</v>
      </c>
      <c r="C4" s="71" t="s">
        <v>70</v>
      </c>
      <c r="D4" s="91"/>
    </row>
    <row r="5" spans="1:4" ht="33.75" x14ac:dyDescent="0.35">
      <c r="A5" s="69" t="s">
        <v>13</v>
      </c>
      <c r="B5" s="91" t="s">
        <v>7</v>
      </c>
      <c r="C5" s="71" t="s">
        <v>67</v>
      </c>
      <c r="D5" s="91"/>
    </row>
    <row r="6" spans="1:4" ht="22.5" x14ac:dyDescent="0.35">
      <c r="A6" s="69" t="s">
        <v>28</v>
      </c>
      <c r="B6" s="91" t="s">
        <v>7</v>
      </c>
      <c r="C6" s="71" t="s">
        <v>68</v>
      </c>
      <c r="D6" s="91"/>
    </row>
    <row r="7" spans="1:4" ht="33.75" x14ac:dyDescent="0.35">
      <c r="A7" s="69" t="s">
        <v>24</v>
      </c>
      <c r="B7" s="91" t="s">
        <v>7</v>
      </c>
      <c r="C7" s="71" t="s">
        <v>69</v>
      </c>
      <c r="D7" s="91"/>
    </row>
    <row r="8" spans="1:4" ht="112.5" x14ac:dyDescent="0.35">
      <c r="A8" s="91" t="s">
        <v>6</v>
      </c>
      <c r="B8" s="91" t="s">
        <v>7</v>
      </c>
      <c r="C8" s="71" t="s">
        <v>57</v>
      </c>
      <c r="D8" s="91"/>
    </row>
    <row r="9" spans="1:4" x14ac:dyDescent="0.35">
      <c r="A9" s="91" t="s">
        <v>32</v>
      </c>
      <c r="B9" s="91" t="s">
        <v>7</v>
      </c>
      <c r="C9" s="71" t="s">
        <v>33</v>
      </c>
      <c r="D9" s="91"/>
    </row>
    <row r="10" spans="1:4" x14ac:dyDescent="0.35">
      <c r="A10" s="91" t="s">
        <v>74</v>
      </c>
      <c r="B10" s="91" t="s">
        <v>74</v>
      </c>
      <c r="C10" s="71" t="s">
        <v>33</v>
      </c>
      <c r="D10" s="91"/>
    </row>
  </sheetData>
  <phoneticPr fontI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13</vt:i4>
      </vt:variant>
    </vt:vector>
  </HeadingPairs>
  <TitlesOfParts>
    <vt:vector size="18" baseType="lpstr">
      <vt:lpstr>事前準備</vt:lpstr>
      <vt:lpstr>Test Case Generation</vt:lpstr>
      <vt:lpstr>Selenium</vt:lpstr>
      <vt:lpstr>target master</vt:lpstr>
      <vt:lpstr>command master</vt:lpstr>
      <vt:lpstr>baseURL</vt:lpstr>
      <vt:lpstr>command_keywords</vt:lpstr>
      <vt:lpstr>command_master</vt:lpstr>
      <vt:lpstr>CurrentStepIter</vt:lpstr>
      <vt:lpstr>CurrentTestPatternIter</vt:lpstr>
      <vt:lpstr>Directory</vt:lpstr>
      <vt:lpstr>FileNameFormat</vt:lpstr>
      <vt:lpstr>PatternName</vt:lpstr>
      <vt:lpstr>stepEnd</vt:lpstr>
      <vt:lpstr>stepStart</vt:lpstr>
      <vt:lpstr>target_selection</vt:lpstr>
      <vt:lpstr>TestCase</vt:lpstr>
      <vt:lpstr>TotalTestPatterns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2021-06-24T01:56:20Z</dcterms:created>
  <dcterms:modified xsi:type="dcterms:W3CDTF">2022-06-23T08:54:10Z</dcterms:modified>
</cp:coreProperties>
</file>